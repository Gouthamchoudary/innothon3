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SchneiderElectric\Report\Daily Report\"/>
    </mc:Choice>
  </mc:AlternateContent>
  <xr:revisionPtr revIDLastSave="0" documentId="13_ncr:1_{FAA091D7-017D-4E1E-B984-96CC608E8877}" xr6:coauthVersionLast="47" xr6:coauthVersionMax="47" xr10:uidLastSave="{00000000-0000-0000-0000-000000000000}"/>
  <bookViews>
    <workbookView xWindow="2295" yWindow="2295" windowWidth="21600" windowHeight="11295" tabRatio="501" firstSheet="2" activeTab="2" xr2:uid="{00000000-000D-0000-FFFF-FFFF00000000}"/>
  </bookViews>
  <sheets>
    <sheet name="FeederNames" sheetId="57" state="hidden" r:id="rId1"/>
    <sheet name="Daily_Consumption" sheetId="58" state="hidden" r:id="rId2"/>
    <sheet name="Consumption &amp; Generation" sheetId="61" r:id="rId3"/>
    <sheet name="Shift_Consumption" sheetId="23" state="hidden" r:id="rId4"/>
  </sheets>
  <externalReferences>
    <externalReference r:id="rId5"/>
  </externalReferences>
  <definedNames>
    <definedName name="_xlnm._FilterDatabase" localSheetId="3" hidden="1">Shift_Consumption!#REF!</definedName>
    <definedName name="Category">[1]Assumption!$A$2:$A$53</definedName>
    <definedName name="Line">[1]Assp!$A$2:$A$16</definedName>
    <definedName name="_xlnm.Print_Area" localSheetId="3">Shift_Consumption!$A$1:$E$11</definedName>
    <definedName name="_xlnm.Print_Titles" localSheetId="3">Shift_Consumption!$1:$3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61" l="1"/>
  <c r="D16" i="61"/>
  <c r="E16" i="61"/>
  <c r="C15" i="61"/>
  <c r="D15" i="61"/>
  <c r="E15" i="61"/>
  <c r="E1" i="61"/>
  <c r="C5" i="61"/>
  <c r="D5" i="61"/>
  <c r="E5" i="61"/>
  <c r="C6" i="61"/>
  <c r="D6" i="61"/>
  <c r="E6" i="61"/>
  <c r="C7" i="61"/>
  <c r="D7" i="61"/>
  <c r="E7" i="61"/>
  <c r="C8" i="61"/>
  <c r="D8" i="61"/>
  <c r="E8" i="61"/>
  <c r="C9" i="61"/>
  <c r="D9" i="61"/>
  <c r="E9" i="61"/>
  <c r="D4" i="61"/>
  <c r="E4" i="61"/>
  <c r="C4" i="61"/>
  <c r="B9" i="61"/>
  <c r="B8" i="61"/>
  <c r="B7" i="61"/>
  <c r="B6" i="61"/>
  <c r="B5" i="61"/>
  <c r="B4" i="61"/>
  <c r="B1" i="23"/>
  <c r="E18" i="61" l="1"/>
  <c r="E12" i="61"/>
  <c r="B7" i="23"/>
  <c r="B8" i="23"/>
  <c r="B9" i="23"/>
  <c r="B10" i="23"/>
  <c r="B11" i="23"/>
  <c r="B5" i="23"/>
  <c r="B6" i="23"/>
  <c r="B4" i="23"/>
  <c r="E1" i="23" l="1"/>
  <c r="B9" i="58"/>
  <c r="B10" i="58"/>
  <c r="B15" i="61" s="1"/>
  <c r="B11" i="58"/>
  <c r="B16" i="61" s="1"/>
  <c r="B5" i="58"/>
  <c r="B6" i="58"/>
  <c r="B7" i="58"/>
  <c r="B8" i="58"/>
  <c r="B4" i="58"/>
</calcChain>
</file>

<file path=xl/sharedStrings.xml><?xml version="1.0" encoding="utf-8"?>
<sst xmlns="http://schemas.openxmlformats.org/spreadsheetml/2006/main" count="208" uniqueCount="187">
  <si>
    <t>Meter No.</t>
  </si>
  <si>
    <t>Feeder Description</t>
  </si>
  <si>
    <t>Date</t>
  </si>
  <si>
    <t>Shift1</t>
  </si>
  <si>
    <t>Shift2</t>
  </si>
  <si>
    <t>Shift3</t>
  </si>
  <si>
    <t>Consumption in Kwh</t>
  </si>
  <si>
    <t>Init Reading Kwh</t>
  </si>
  <si>
    <t>Final Reading KWH</t>
  </si>
  <si>
    <t>KWH</t>
  </si>
  <si>
    <t>Q3_PCC1.4F4_Office_Panel</t>
  </si>
  <si>
    <t>Q3_PCC1.5F2_PDB1_Main_RPDB</t>
  </si>
  <si>
    <t>Q3_PCC1.5F1_SPARE1</t>
  </si>
  <si>
    <t>Q3_PCC1.5F3_SPARE2</t>
  </si>
  <si>
    <t>Q3_PCC1.5F4_SPARE3</t>
  </si>
  <si>
    <t>Q3_PCC1.6F3_PDB4</t>
  </si>
  <si>
    <t>Q3_PCC1.6F4_MLDB</t>
  </si>
  <si>
    <t>Q3_PCC1.7F3_Server_Room</t>
  </si>
  <si>
    <t>Q3_PCC1.4F1_STP</t>
  </si>
  <si>
    <t>Q3_PCC1.6F2_SPARE4</t>
  </si>
  <si>
    <t>Q3_Tech.1F2_UPS_Incomer_DB3</t>
  </si>
  <si>
    <t>Q3_Tech.1F1_UPS1</t>
  </si>
  <si>
    <t>Q3_Tech.1F2_UPS2</t>
  </si>
  <si>
    <t>Q3_Tech.1F3_UPS3</t>
  </si>
  <si>
    <t>Q3_Tech.1F5_UPS_Incomer_DB1</t>
  </si>
  <si>
    <t>Q3_Tech.2F1_LGF_LTG_27A</t>
  </si>
  <si>
    <t>Q3_Tech.2F2_UGF_LTG_27A</t>
  </si>
  <si>
    <t>Q3_Tech.2F3_SPARE1</t>
  </si>
  <si>
    <t>Q3_Tech.2F4_SPARE2</t>
  </si>
  <si>
    <t>Q3_Tech.2F5_UPS_Incomer_DB3</t>
  </si>
  <si>
    <t>Q3_Tech.1F2_PDB1_Main_RPDB</t>
  </si>
  <si>
    <t>Q3_Tech.1F6_PDB2</t>
  </si>
  <si>
    <t>Q3_Tech.1F2_MLDB_MEZZ1_Technic_RM</t>
  </si>
  <si>
    <t>Q3_Tech.2F3_MLDB1</t>
  </si>
  <si>
    <t>Q3_Tech.1F2_PDB3_HVAC_Panel</t>
  </si>
  <si>
    <t>Q3_Office.1F2_Office_Panel_IC</t>
  </si>
  <si>
    <t>Q3_Office.2F3_Incomer_for_RPDBS</t>
  </si>
  <si>
    <t>Q3_Office.3F5_MZZ2_Office_Area</t>
  </si>
  <si>
    <t>Q3_Office.3F4_MZZ1_Office_Area</t>
  </si>
  <si>
    <t>Q3_Office.4F2_SPARE1</t>
  </si>
  <si>
    <t>Q3_Office.4F3_UPS_40KW</t>
  </si>
  <si>
    <t>Q3_Office.4F4_SPARE2</t>
  </si>
  <si>
    <t>Q3_Office.4F5_SPARE3</t>
  </si>
  <si>
    <t>Q3_Office.3F1_Incomer_for_LDBS</t>
  </si>
  <si>
    <t>Q3_Office.3F2_Lift</t>
  </si>
  <si>
    <t>Q3_Office.3F3_LGF_Office</t>
  </si>
  <si>
    <t>ION.7650</t>
  </si>
  <si>
    <t>PH2_Utility.1F2_Incomer_Panel</t>
  </si>
  <si>
    <t>PH2_Utility.2F1_Security_Cabin3</t>
  </si>
  <si>
    <t>PH2_Utility.2F2_Security_Cabin4</t>
  </si>
  <si>
    <t>PH2_Utility.2F3_Security_Cabin5</t>
  </si>
  <si>
    <t>PH2_Utility.2F4_SPARE1</t>
  </si>
  <si>
    <t>PH2_Utility.2F5_MDB4</t>
  </si>
  <si>
    <t>PH2_Utility.2F6_SPARE2</t>
  </si>
  <si>
    <t>Q3_PCC1.7F4_PH_II_Utility_Panel</t>
  </si>
  <si>
    <t>WHP_PCC1.1F3_PCC1_IC</t>
  </si>
  <si>
    <t>WHP_PCC1.2F3_PCC2</t>
  </si>
  <si>
    <t>WHP_PCC1.2F4_HVAC</t>
  </si>
  <si>
    <t>WHP_PCC1.3F3_FIRE_FTG</t>
  </si>
  <si>
    <t>WHP_PCC1.3F4_SPARE</t>
  </si>
  <si>
    <t>WHP_PCC2.1F2_PCC2_IC</t>
  </si>
  <si>
    <t>WHP_PCC2.1F5_MLDB1</t>
  </si>
  <si>
    <t>WHP_PCC2.1F6_UPS_IC</t>
  </si>
  <si>
    <t>WHP_PCC2.2F7_MLDB2</t>
  </si>
  <si>
    <t>WHP_PCC2.2F8_MRPDB</t>
  </si>
  <si>
    <t>WHP_PCC2.3F8_SPARE</t>
  </si>
  <si>
    <t>WHP_UPS_OG.1F1_IC1_UPS1</t>
  </si>
  <si>
    <t>WHP_UPS_OG.1F2_IC2_UPS2</t>
  </si>
  <si>
    <t>WHP_UPS_OG.1F3_IC3_UPS3</t>
  </si>
  <si>
    <t>WHP_UPS_IC.1F2_UPS_IC</t>
  </si>
  <si>
    <t>WHP_MELDB_1.1F2_IC_MELDB1</t>
  </si>
  <si>
    <t>WHP_MLDB1.1F1_IC_MLDB1</t>
  </si>
  <si>
    <t>WHP_MRPDB.1F2_IC_MRPDB</t>
  </si>
  <si>
    <t>WHP_HVAC.1F2_IC_HVAC</t>
  </si>
  <si>
    <t>KIOSK.QIII_RMU</t>
  </si>
  <si>
    <t>KIOSK.QI_QII_RMU</t>
  </si>
  <si>
    <t>KIOSK.PS_RMU</t>
  </si>
  <si>
    <t>Management Console Name</t>
  </si>
  <si>
    <t>Customer Name</t>
  </si>
  <si>
    <t>C_Clean_Room_Panel.Spare2</t>
  </si>
  <si>
    <t>C_Clean_Room_Panel.DU_Line_MP2</t>
  </si>
  <si>
    <t>M_MPDP04.Laser_Nozzleline</t>
  </si>
  <si>
    <t>C_HVAC_Panel_CR.Incomer</t>
  </si>
  <si>
    <t>M_MPDP04.Sonplas1</t>
  </si>
  <si>
    <t>M_MPDP04.Flow_Checking_MC3</t>
  </si>
  <si>
    <t>M_MPDP06.Spare2</t>
  </si>
  <si>
    <t>M_UPS_MDB1.Incomer</t>
  </si>
  <si>
    <t>M_MPDP05.Incomer</t>
  </si>
  <si>
    <t>M_MPDP04.Abrasive_Flow_MC2</t>
  </si>
  <si>
    <t>M_MPDP05.Spare5</t>
  </si>
  <si>
    <t>M_MPDP05.CMT_Machine</t>
  </si>
  <si>
    <t>M_MPDP06.Spare1</t>
  </si>
  <si>
    <t>M_UPS_MDB2.Spare2</t>
  </si>
  <si>
    <t>M_MPDP06.Washing_MC_RL</t>
  </si>
  <si>
    <t>M_UPS_MDB2.Incomer</t>
  </si>
  <si>
    <t>M_MPDP04.Abrasive_Flow_MC1</t>
  </si>
  <si>
    <t>M_EDM_MC_Panel.EDM_MC5</t>
  </si>
  <si>
    <t>C_Clean_Room_Panel.DU_Line_MP1</t>
  </si>
  <si>
    <t>C_Clean_Room_Panel.SU_Line_MP</t>
  </si>
  <si>
    <t>M_MPDP04.Sleeve_Id_Grinding_1</t>
  </si>
  <si>
    <t>M_MPDP04.Spare8</t>
  </si>
  <si>
    <t>C_Clean_Room_Panel.SU_Line_OP_110</t>
  </si>
  <si>
    <t>M_MPDP04.Spare7</t>
  </si>
  <si>
    <t>C_Clean_Room_Panel.Compact_80C_Durr2</t>
  </si>
  <si>
    <t>M_EDM_MC_Panel.EDM_MC3</t>
  </si>
  <si>
    <t>M_EDM_MC_Panel.EDM_MC2</t>
  </si>
  <si>
    <t>M_EDM_MC_Panel.EDM_MC4</t>
  </si>
  <si>
    <t>M_UPS_MDB2.Spare1</t>
  </si>
  <si>
    <t>M_MPDP04.Flow_Checking_MC4</t>
  </si>
  <si>
    <t>M_UPS_MDB2.UVA1_1D_Grinding</t>
  </si>
  <si>
    <t>M_MPDP04.Sonplas2</t>
  </si>
  <si>
    <t>M_UPS_MDB2.UVA2_1D_Grinding</t>
  </si>
  <si>
    <t>M_EDM_MC_Panel.Gauges_UPS_DB</t>
  </si>
  <si>
    <t>C_AHU_Panel.Incomer</t>
  </si>
  <si>
    <t>M_MPDP05.OD_Grinding1</t>
  </si>
  <si>
    <t>M_MPDP04.Spare5</t>
  </si>
  <si>
    <t>M_MPDP04.Spare6</t>
  </si>
  <si>
    <t>M_MPDP06.Incomer</t>
  </si>
  <si>
    <t>M_MPDP06.AFM_MC_Chiller</t>
  </si>
  <si>
    <t>M_MPDP06.Kardex_RPDB</t>
  </si>
  <si>
    <t>M_MPDP06.Spare3</t>
  </si>
  <si>
    <t>M_MPDP06.Nakamura_01</t>
  </si>
  <si>
    <t>M_MPDP06.Nakamura_02</t>
  </si>
  <si>
    <t>M_MPDP06.Nozzle_Seal_ID1</t>
  </si>
  <si>
    <t>C_HVLS_Panel.Incomer</t>
  </si>
  <si>
    <t>M_MPDB.Incomer</t>
  </si>
  <si>
    <t>M_MLDB.Incomer</t>
  </si>
  <si>
    <t>M_HVLS_Fan_Panel1.Incomer</t>
  </si>
  <si>
    <t>M_EDM_MC_Panel.Incomer</t>
  </si>
  <si>
    <t>M_EDM_MC_Panel.Spare3</t>
  </si>
  <si>
    <t>M_EDM_MC_Panel.EDM_MC1</t>
  </si>
  <si>
    <t>M_EDM_MC_Panel.Spare4</t>
  </si>
  <si>
    <t>M_Main_HVAC_Panel.AHU_03</t>
  </si>
  <si>
    <t>M_MPDP05.Spare6</t>
  </si>
  <si>
    <t>M_MPDP05.Demagnetizer</t>
  </si>
  <si>
    <t>M_MPDP05.Washing_MC_Nozzle</t>
  </si>
  <si>
    <t>M_MPDP05.Spare7</t>
  </si>
  <si>
    <t>M_MPDP05.Admin_Office_HVAC</t>
  </si>
  <si>
    <t>M_MPDP05.Seat_ID_Facegrinding1</t>
  </si>
  <si>
    <t>M_Main_HVAC_Panel.Incomer</t>
  </si>
  <si>
    <t>C_Clean_Room_Panel.Incomer</t>
  </si>
  <si>
    <t>C_Clean_Room_Panel.Spare1</t>
  </si>
  <si>
    <t>C_Clean_Room_Panel.Compact_80C_Durr1</t>
  </si>
  <si>
    <t>C_Clean_Room_Panel.DU_Line_MP3</t>
  </si>
  <si>
    <t>C_HVAC_Panel_CR.AHU_Panel</t>
  </si>
  <si>
    <t>C_HVAC_Panel_CR.Chiller1</t>
  </si>
  <si>
    <t>C_HVAC_Panel_CR.Chiller2</t>
  </si>
  <si>
    <t>C_HVAC_Panel_CR.Spare3</t>
  </si>
  <si>
    <t>C_HVAC_Panel_CR.Spare4</t>
  </si>
  <si>
    <t>C_HVAC_Panel_CR.Pump_Panel</t>
  </si>
  <si>
    <t>C_MDB1.Incomer</t>
  </si>
  <si>
    <t>C_MPDP01.Incomer</t>
  </si>
  <si>
    <t>C_MPDP01.Spare1</t>
  </si>
  <si>
    <t>C_MPDP01.Spare2</t>
  </si>
  <si>
    <t>C_MPDP01.Spare3</t>
  </si>
  <si>
    <t>C_MPDP01.Spare4</t>
  </si>
  <si>
    <t>C_MPDP01.Welding_Machine1</t>
  </si>
  <si>
    <t>C_MPDP01.EGP_Assembly1</t>
  </si>
  <si>
    <t>C_MPDP01.Spare5</t>
  </si>
  <si>
    <t>C_MPDP01.Laser_Marking</t>
  </si>
  <si>
    <t>C_MPDP01.Welding_Machine2</t>
  </si>
  <si>
    <t>C_MPDP01.EGP_Assembly2</t>
  </si>
  <si>
    <t>C_MPDP01.EGP_Assembly3</t>
  </si>
  <si>
    <t>C_MPDP01.Welding_Machine3</t>
  </si>
  <si>
    <t>C_MPDP02.Incomer</t>
  </si>
  <si>
    <t>C_MPDP02.Spare6</t>
  </si>
  <si>
    <t>C_MPDP02.Spare7</t>
  </si>
  <si>
    <t>C_MPDP02.Spare8</t>
  </si>
  <si>
    <t>C_MPDP02.Spare9</t>
  </si>
  <si>
    <t>C_MPDP02.Bracket_Assembly1</t>
  </si>
  <si>
    <t>C_MPDP02.Bracket_Assembly2</t>
  </si>
  <si>
    <t>C_MPDP02.Bracket_Assembly3</t>
  </si>
  <si>
    <t>C_MPDP02.Bracket_Assembly4</t>
  </si>
  <si>
    <t>M_Main_HVAC_Panel.AHU_02</t>
  </si>
  <si>
    <t>M_Main_HVAC_Panel.AHU_01</t>
  </si>
  <si>
    <t>Daily(07:00AM to 07:00AM)</t>
  </si>
  <si>
    <t>Gr1.EED_Incomer_1</t>
  </si>
  <si>
    <t>Gr1.EED_Incomer_2</t>
  </si>
  <si>
    <t>Gr1.EED_Research_Wing_Incomer_1</t>
  </si>
  <si>
    <t>Gr1.EED_Research_Wing_Incomer_2</t>
  </si>
  <si>
    <t>Gr1.EED_Load_Feeder</t>
  </si>
  <si>
    <t>Gr1.Civil_Load_Feeder</t>
  </si>
  <si>
    <t>Gr1.EED_Research_Wing_Solar</t>
  </si>
  <si>
    <t>Gr1.EED_Solar</t>
  </si>
  <si>
    <t>National Institute of Technology, Warangal</t>
  </si>
  <si>
    <t>TOTAL CONSUMPTION</t>
  </si>
  <si>
    <t>TOTAL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</si>
</sst>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"/>
    <numFmt numFmtId="166" formatCode="[$-409]d\-mmm\-yy;@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9"/>
      <name val="Arial"/>
      <family val="2"/>
    </font>
    <font>
      <sz val="9"/>
      <color indexed="16"/>
      <name val="Arial"/>
      <family val="2"/>
    </font>
    <font>
      <sz val="8"/>
      <name val="Arial"/>
      <family val="2"/>
    </font>
    <font>
      <sz val="10"/>
      <name val="Cambria"/>
      <family val="1"/>
      <scheme val="major"/>
    </font>
    <font>
      <sz val="10"/>
      <color indexed="8"/>
      <name val="Cambria"/>
      <family val="1"/>
      <scheme val="major"/>
    </font>
    <font>
      <sz val="14"/>
      <name val="Cambria"/>
      <family val="1"/>
      <scheme val="major"/>
    </font>
    <font>
      <sz val="10"/>
      <name val="Arial"/>
      <family val="2"/>
    </font>
    <font>
      <sz val="16"/>
      <name val="Cambria"/>
      <family val="1"/>
      <scheme val="major"/>
    </font>
    <font>
      <sz val="18"/>
      <name val="Cambria"/>
      <family val="1"/>
      <scheme val="major"/>
    </font>
    <font>
      <b/>
      <sz val="12"/>
      <name val="Cambria"/>
      <family val="1"/>
      <scheme val="major"/>
    </font>
    <font>
      <b/>
      <sz val="10"/>
      <name val="Cambria"/>
      <family val="1"/>
      <scheme val="major"/>
    </font>
    <font>
      <sz val="26"/>
      <name val="Cambria"/>
      <family val="1"/>
      <scheme val="major"/>
    </font>
    <font>
      <sz val="24"/>
      <name val="Cambria"/>
      <family val="1"/>
      <scheme val="major"/>
    </font>
    <font>
      <sz val="12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9">
    <xf numFmtId="0" fontId="0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11" fillId="0" borderId="0"/>
    <xf numFmtId="0" fontId="2" fillId="0" borderId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0" fontId="11" fillId="0" borderId="0"/>
  </cellStyleXfs>
  <cellXfs count="57">
    <xf numFmtId="0" fontId="0" fillId="0" borderId="0" xfId="0"/>
    <xf numFmtId="15" fontId="0" fillId="0" borderId="0" xfId="0" applyNumberFormat="1"/>
    <xf numFmtId="0" fontId="0" fillId="0" borderId="1" xfId="0" applyBorder="1"/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1" xfId="0" applyNumberFormat="1" applyFont="1" applyFill="1" applyBorder="1"/>
    <xf numFmtId="0" fontId="8" fillId="2" borderId="3" xfId="0" applyFont="1" applyFill="1" applyBorder="1"/>
    <xf numFmtId="0" fontId="8" fillId="2" borderId="0" xfId="0" applyFont="1" applyFill="1" applyAlignment="1">
      <alignment horizontal="center" vertical="center" wrapText="1"/>
    </xf>
    <xf numFmtId="165" fontId="9" fillId="0" borderId="1" xfId="0" applyNumberFormat="1" applyFont="1" applyBorder="1" applyAlignment="1">
      <alignment horizontal="right" vertical="center"/>
    </xf>
    <xf numFmtId="0" fontId="10" fillId="2" borderId="0" xfId="0" applyFont="1" applyFill="1"/>
    <xf numFmtId="0" fontId="3" fillId="3" borderId="1" xfId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/>
    <xf numFmtId="0" fontId="8" fillId="4" borderId="0" xfId="0" applyFont="1" applyFill="1" applyAlignment="1">
      <alignment horizontal="center"/>
    </xf>
    <xf numFmtId="14" fontId="12" fillId="4" borderId="1" xfId="0" applyNumberFormat="1" applyFont="1" applyFill="1" applyBorder="1" applyAlignment="1">
      <alignment horizontal="center" vertical="center"/>
    </xf>
    <xf numFmtId="166" fontId="12" fillId="4" borderId="1" xfId="0" applyNumberFormat="1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 wrapText="1"/>
    </xf>
    <xf numFmtId="166" fontId="13" fillId="4" borderId="13" xfId="0" applyNumberFormat="1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165" fontId="8" fillId="2" borderId="17" xfId="0" applyNumberFormat="1" applyFont="1" applyFill="1" applyBorder="1"/>
    <xf numFmtId="0" fontId="8" fillId="4" borderId="18" xfId="0" applyFont="1" applyFill="1" applyBorder="1" applyAlignment="1">
      <alignment horizontal="center" vertical="center" wrapText="1"/>
    </xf>
    <xf numFmtId="0" fontId="8" fillId="4" borderId="19" xfId="0" applyFont="1" applyFill="1" applyBorder="1" applyAlignment="1">
      <alignment horizontal="left" vertical="center" wrapText="1"/>
    </xf>
    <xf numFmtId="165" fontId="8" fillId="2" borderId="20" xfId="0" applyNumberFormat="1" applyFont="1" applyFill="1" applyBorder="1"/>
    <xf numFmtId="165" fontId="8" fillId="2" borderId="21" xfId="0" applyNumberFormat="1" applyFont="1" applyFill="1" applyBorder="1"/>
    <xf numFmtId="0" fontId="18" fillId="4" borderId="16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left" vertical="center" wrapText="1"/>
    </xf>
    <xf numFmtId="165" fontId="18" fillId="2" borderId="1" xfId="0" applyNumberFormat="1" applyFont="1" applyFill="1" applyBorder="1"/>
    <xf numFmtId="0" fontId="18" fillId="2" borderId="0" xfId="0" applyFont="1" applyFill="1"/>
    <xf numFmtId="0" fontId="18" fillId="2" borderId="0" xfId="0" applyFont="1" applyFill="1" applyAlignment="1">
      <alignment horizontal="center"/>
    </xf>
    <xf numFmtId="165" fontId="13" fillId="5" borderId="22" xfId="0" applyNumberFormat="1" applyFont="1" applyFill="1" applyBorder="1"/>
    <xf numFmtId="0" fontId="18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 wrapText="1"/>
    </xf>
    <xf numFmtId="0" fontId="17" fillId="4" borderId="11" xfId="0" applyFont="1" applyFill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 wrapText="1"/>
    </xf>
    <xf numFmtId="0" fontId="14" fillId="4" borderId="16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 wrapText="1"/>
    </xf>
    <xf numFmtId="0" fontId="13" fillId="5" borderId="23" xfId="0" applyFont="1" applyFill="1" applyBorder="1" applyAlignment="1">
      <alignment horizontal="center" vertical="center"/>
    </xf>
    <xf numFmtId="0" fontId="13" fillId="5" borderId="24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14" fontId="16" fillId="4" borderId="8" xfId="0" applyNumberFormat="1" applyFont="1" applyFill="1" applyBorder="1" applyAlignment="1">
      <alignment horizontal="center" vertical="center" wrapText="1"/>
    </xf>
    <xf numFmtId="14" fontId="16" fillId="4" borderId="4" xfId="0" applyNumberFormat="1" applyFont="1" applyFill="1" applyBorder="1" applyAlignment="1">
      <alignment horizontal="center" vertical="center" wrapText="1"/>
    </xf>
  </cellXfs>
  <cellStyles count="19">
    <cellStyle name="Comma 2" xfId="4" xr:uid="{00000000-0005-0000-0000-000000000000}"/>
    <cellStyle name="Comma 2 2" xfId="5" xr:uid="{00000000-0005-0000-0000-000001000000}"/>
    <cellStyle name="Comma 3" xfId="6" xr:uid="{00000000-0005-0000-0000-000002000000}"/>
    <cellStyle name="Normal" xfId="0" builtinId="0"/>
    <cellStyle name="Normal 11" xfId="17" xr:uid="{00000000-0005-0000-0000-000004000000}"/>
    <cellStyle name="Normal 2" xfId="1" xr:uid="{00000000-0005-0000-0000-000005000000}"/>
    <cellStyle name="Normal 2 2" xfId="18" xr:uid="{00000000-0005-0000-0000-000006000000}"/>
    <cellStyle name="Normal 3" xfId="7" xr:uid="{00000000-0005-0000-0000-000007000000}"/>
    <cellStyle name="Normal 4" xfId="8" xr:uid="{00000000-0005-0000-0000-000008000000}"/>
    <cellStyle name="Normal 5" xfId="9" xr:uid="{00000000-0005-0000-0000-000009000000}"/>
    <cellStyle name="Normal 6" xfId="2" xr:uid="{00000000-0005-0000-0000-00000A000000}"/>
    <cellStyle name="Normal 8" xfId="10" xr:uid="{00000000-0005-0000-0000-00000B000000}"/>
    <cellStyle name="Percent 2" xfId="11" xr:uid="{00000000-0005-0000-0000-00000C000000}"/>
    <cellStyle name="Percent 2 2" xfId="12" xr:uid="{00000000-0005-0000-0000-00000D000000}"/>
    <cellStyle name="Percent 3" xfId="13" xr:uid="{00000000-0005-0000-0000-00000E000000}"/>
    <cellStyle name="Percent 4" xfId="14" xr:uid="{00000000-0005-0000-0000-00000F000000}"/>
    <cellStyle name="Percent 4 2" xfId="15" xr:uid="{00000000-0005-0000-0000-000010000000}"/>
    <cellStyle name="Percent 5" xfId="16" xr:uid="{00000000-0005-0000-0000-000011000000}"/>
    <cellStyle name="Percent 6" xfId="3" xr:uid="{00000000-0005-0000-0000-000012000000}"/>
  </cellStyles>
  <dxfs count="0"/>
  <tableStyles count="0" defaultTableStyle="TableStyleMedium9" defaultPivotStyle="PivotStyleLight16"/>
  <colors>
    <mruColors>
      <color rgb="FFFFFF99"/>
      <color rgb="FFD6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nkfp1\public\Engg\Engineering%20F19\PILLSBURY%20DAILY%20POWER%20F%2019\JC-12\Daily%20Power%20Report%20F%2019%20-%20JC-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ata input"/>
      <sheetName val="Data 2"/>
      <sheetName val="Assumption"/>
      <sheetName val="Assp"/>
      <sheetName val="DM power"/>
      <sheetName val="LWR Power"/>
      <sheetName val="RTE Cookie Power"/>
      <sheetName val="Sheet3"/>
    </sheetNames>
    <sheetDataSet>
      <sheetData sheetId="0"/>
      <sheetData sheetId="1"/>
      <sheetData sheetId="2">
        <row r="2">
          <cell r="A2" t="str">
            <v>JC</v>
          </cell>
        </row>
      </sheetData>
      <sheetData sheetId="3">
        <row r="2">
          <cell r="A2" t="str">
            <v>B&amp;FS</v>
          </cell>
        </row>
        <row r="3">
          <cell r="A3" t="str">
            <v>B&amp;FS - Others</v>
          </cell>
        </row>
        <row r="4">
          <cell r="A4" t="str">
            <v>Retail upto 100gm</v>
          </cell>
        </row>
        <row r="5">
          <cell r="A5" t="str">
            <v>Retail 100-300gm</v>
          </cell>
        </row>
        <row r="6">
          <cell r="A6" t="str">
            <v>B&amp;FS - Slow</v>
          </cell>
        </row>
        <row r="7">
          <cell r="A7" t="str">
            <v>Retail above 300gm</v>
          </cell>
        </row>
        <row r="8">
          <cell r="A8" t="str">
            <v>Besan (4Lb only)</v>
          </cell>
        </row>
        <row r="9">
          <cell r="A9" t="str">
            <v>Choc Frosting</v>
          </cell>
        </row>
        <row r="10">
          <cell r="A10" t="str">
            <v>Choco Spread 180gm</v>
          </cell>
        </row>
        <row r="11">
          <cell r="A11" t="str">
            <v>Choco Spread 350gm</v>
          </cell>
        </row>
        <row r="12">
          <cell r="A12" t="str">
            <v>Choco Spread 15gm</v>
          </cell>
        </row>
        <row r="13">
          <cell r="A13" t="str">
            <v>NV Chew Bar</v>
          </cell>
        </row>
        <row r="14">
          <cell r="A14" t="str">
            <v>Choco Lava</v>
          </cell>
        </row>
        <row r="15">
          <cell r="A15" t="str">
            <v>Maple Syrup</v>
          </cell>
        </row>
        <row r="16">
          <cell r="A16" t="str">
            <v>Paratha Line 1</v>
          </cell>
        </row>
        <row r="17">
          <cell r="A17" t="str">
            <v>Filled Dough</v>
          </cell>
        </row>
        <row r="18">
          <cell r="A18" t="str">
            <v>Unbaked</v>
          </cell>
        </row>
        <row r="19">
          <cell r="A19" t="str">
            <v>Thin Crust Pizza</v>
          </cell>
        </row>
        <row r="20">
          <cell r="A20" t="str">
            <v>Corn Yellow</v>
          </cell>
        </row>
        <row r="21">
          <cell r="A21" t="str">
            <v>Frozen Dough</v>
          </cell>
        </row>
        <row r="22">
          <cell r="A22" t="str">
            <v>Puff Roti</v>
          </cell>
        </row>
        <row r="23">
          <cell r="A23" t="str">
            <v>Amb Wrap 6.5</v>
          </cell>
        </row>
        <row r="24">
          <cell r="A24" t="str">
            <v>Amb Wrap 8.5</v>
          </cell>
        </row>
        <row r="25">
          <cell r="A25" t="str">
            <v>Amb Wrap 10.5</v>
          </cell>
        </row>
        <row r="26">
          <cell r="A26" t="str">
            <v>Amb Wrap 6.5 MAP</v>
          </cell>
        </row>
        <row r="27">
          <cell r="A27" t="str">
            <v>Amb Wrap 8.5 MAP</v>
          </cell>
        </row>
        <row r="28">
          <cell r="A28" t="str">
            <v>Amb Wrap 10.5 MAP</v>
          </cell>
        </row>
        <row r="29">
          <cell r="A29" t="str">
            <v>Microwave Roti</v>
          </cell>
        </row>
        <row r="30">
          <cell r="A30" t="str">
            <v>MMR</v>
          </cell>
        </row>
        <row r="31">
          <cell r="A31" t="str">
            <v>Wraps 10.5 interleave</v>
          </cell>
        </row>
        <row r="32">
          <cell r="A32" t="str">
            <v>Wraps 10.5 w/o interleave</v>
          </cell>
        </row>
        <row r="33">
          <cell r="A33" t="str">
            <v>Wraps 8</v>
          </cell>
        </row>
        <row r="34">
          <cell r="A34" t="str">
            <v>Wraps 8.25</v>
          </cell>
        </row>
        <row r="35">
          <cell r="A35" t="str">
            <v>Wraps 7</v>
          </cell>
        </row>
        <row r="36">
          <cell r="A36" t="str">
            <v>Wraps 5.75</v>
          </cell>
        </row>
        <row r="37">
          <cell r="A37" t="str">
            <v>Wraps 6.5</v>
          </cell>
        </row>
        <row r="38">
          <cell r="A38" t="str">
            <v>RTE Cookie Cake</v>
          </cell>
        </row>
        <row r="39">
          <cell r="A39" t="str">
            <v>Paratha Lawrence</v>
          </cell>
        </row>
        <row r="40">
          <cell r="A40" t="str">
            <v>NPD5</v>
          </cell>
        </row>
        <row r="41">
          <cell r="A41" t="str">
            <v>NPD6</v>
          </cell>
        </row>
        <row r="42">
          <cell r="A42" t="str">
            <v>PCCM Topping mix</v>
          </cell>
        </row>
        <row r="43">
          <cell r="A43" t="str">
            <v>Wheat Roasting</v>
          </cell>
        </row>
        <row r="44">
          <cell r="A44" t="str">
            <v>Granola</v>
          </cell>
        </row>
        <row r="45">
          <cell r="A45" t="str">
            <v>Chocolava Premix</v>
          </cell>
        </row>
        <row r="46">
          <cell r="A46" t="str">
            <v>Masala red wraps</v>
          </cell>
        </row>
      </sheetData>
      <sheetData sheetId="4">
        <row r="2">
          <cell r="A2" t="str">
            <v>Dry Mix</v>
          </cell>
        </row>
        <row r="3">
          <cell r="A3" t="str">
            <v>Food Mixes</v>
          </cell>
        </row>
        <row r="4">
          <cell r="A4" t="str">
            <v>Corn Yellow</v>
          </cell>
        </row>
        <row r="5">
          <cell r="A5" t="str">
            <v>Maple Syrup</v>
          </cell>
        </row>
        <row r="6">
          <cell r="A6" t="str">
            <v>Choco Spread</v>
          </cell>
        </row>
        <row r="7">
          <cell r="A7" t="str">
            <v>NV Chew Bar</v>
          </cell>
        </row>
        <row r="8">
          <cell r="A8" t="str">
            <v>Choco Lava</v>
          </cell>
        </row>
        <row r="9">
          <cell r="A9" t="str">
            <v>Frozen</v>
          </cell>
        </row>
        <row r="10">
          <cell r="A10" t="str">
            <v>Lawrence</v>
          </cell>
        </row>
        <row r="11">
          <cell r="A11" t="str">
            <v>RTE Cookie Cake</v>
          </cell>
        </row>
        <row r="12">
          <cell r="A12" t="str">
            <v>Lawrence Variable</v>
          </cell>
        </row>
        <row r="13">
          <cell r="A13" t="str">
            <v>Cold Rooms</v>
          </cell>
        </row>
        <row r="14">
          <cell r="A14" t="str">
            <v>Lighting Load</v>
          </cell>
        </row>
        <row r="15">
          <cell r="A15" t="str">
            <v>WD Fixed</v>
          </cell>
        </row>
        <row r="16">
          <cell r="A16" t="str">
            <v>Fixed Load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9"/>
  <dimension ref="A1:LO204"/>
  <sheetViews>
    <sheetView workbookViewId="0">
      <selection activeCell="C3" sqref="C3:DD3"/>
    </sheetView>
  </sheetViews>
  <sheetFormatPr defaultRowHeight="12.75" x14ac:dyDescent="0.2"/>
  <cols>
    <col min="1" max="1" width="26.5703125" bestFit="1" customWidth="1"/>
    <col min="2" max="2" width="44.85546875" bestFit="1" customWidth="1"/>
    <col min="3" max="3" width="19" customWidth="1"/>
    <col min="5" max="5" width="31" bestFit="1" customWidth="1"/>
    <col min="92" max="92" width="13" customWidth="1"/>
  </cols>
  <sheetData>
    <row r="1" spans="1:327" ht="15" x14ac:dyDescent="0.2">
      <c r="A1" s="15" t="s">
        <v>77</v>
      </c>
      <c r="B1" s="15" t="s">
        <v>78</v>
      </c>
    </row>
    <row r="2" spans="1:327" x14ac:dyDescent="0.2">
      <c r="A2">
        <v>1</v>
      </c>
      <c r="B2" s="3" t="s">
        <v>176</v>
      </c>
    </row>
    <row r="3" spans="1:327" ht="48" x14ac:dyDescent="0.2">
      <c r="A3">
        <v>2</v>
      </c>
      <c r="B3" s="3" t="s">
        <v>177</v>
      </c>
      <c r="C3" s="3" t="s">
        <v>176</v>
      </c>
      <c r="D3" t="s">
        <v>177</v>
      </c>
      <c r="E3" t="s">
        <v>178</v>
      </c>
      <c r="F3" s="3" t="s">
        <v>179</v>
      </c>
      <c r="G3" s="3" t="s">
        <v>180</v>
      </c>
      <c r="H3" s="3" t="s">
        <v>181</v>
      </c>
      <c r="I3" s="3" t="s">
        <v>182</v>
      </c>
      <c r="J3" s="4" t="s">
        <v>183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5"/>
      <c r="AE3" s="5"/>
      <c r="AF3" s="3"/>
      <c r="AG3" s="6"/>
      <c r="AH3" s="3"/>
      <c r="AI3" s="3"/>
      <c r="AJ3" s="3"/>
      <c r="AK3" s="3"/>
      <c r="AL3" s="3"/>
      <c r="AM3" s="3"/>
      <c r="AN3" s="6"/>
      <c r="AO3" s="6"/>
      <c r="AP3" s="3"/>
      <c r="AQ3" s="3"/>
      <c r="AR3" s="3"/>
      <c r="AS3" s="3"/>
      <c r="AT3" s="3"/>
      <c r="AU3" s="5"/>
      <c r="AV3" s="3"/>
      <c r="AW3" s="6"/>
      <c r="AX3" s="6"/>
      <c r="AY3" s="5"/>
      <c r="AZ3" s="3"/>
      <c r="BA3" s="3"/>
      <c r="BB3" s="3"/>
      <c r="BC3" s="3"/>
      <c r="BD3" s="3"/>
      <c r="BE3" s="3"/>
      <c r="BF3" s="3"/>
      <c r="BG3" s="3"/>
      <c r="BH3" s="3"/>
      <c r="BI3" s="5"/>
      <c r="BJ3" s="3"/>
      <c r="BK3" s="3"/>
      <c r="BL3" s="6"/>
      <c r="BM3" s="6"/>
      <c r="BN3" s="7"/>
      <c r="BO3" s="6"/>
      <c r="BP3" s="6"/>
      <c r="BQ3" s="6"/>
      <c r="BR3" s="6"/>
      <c r="BS3" s="6"/>
      <c r="BT3" s="6"/>
      <c r="BU3" s="6"/>
      <c r="BV3" s="6"/>
      <c r="BW3" s="5"/>
      <c r="BX3" s="6"/>
      <c r="BY3" s="6"/>
      <c r="BZ3" s="6"/>
      <c r="CA3" s="7"/>
      <c r="CB3" s="7"/>
      <c r="CC3" s="7"/>
      <c r="CD3" s="7"/>
      <c r="JA3" t="s">
        <v>10</v>
      </c>
      <c r="JB3" t="s">
        <v>11</v>
      </c>
      <c r="JC3" t="s">
        <v>12</v>
      </c>
      <c r="JD3" t="s">
        <v>13</v>
      </c>
      <c r="JE3" t="s">
        <v>14</v>
      </c>
      <c r="JF3" t="s">
        <v>15</v>
      </c>
      <c r="JG3" t="s">
        <v>16</v>
      </c>
      <c r="JH3" t="s">
        <v>17</v>
      </c>
      <c r="JI3" t="s">
        <v>54</v>
      </c>
      <c r="JJ3" t="s">
        <v>18</v>
      </c>
      <c r="JK3" t="s">
        <v>19</v>
      </c>
      <c r="JL3" t="s">
        <v>20</v>
      </c>
      <c r="JM3" t="s">
        <v>21</v>
      </c>
      <c r="JN3" t="s">
        <v>22</v>
      </c>
      <c r="JO3" t="s">
        <v>23</v>
      </c>
      <c r="JP3" t="s">
        <v>24</v>
      </c>
      <c r="JQ3" t="s">
        <v>25</v>
      </c>
      <c r="JR3" t="s">
        <v>26</v>
      </c>
      <c r="JS3" t="s">
        <v>27</v>
      </c>
      <c r="JT3" t="s">
        <v>28</v>
      </c>
      <c r="JU3" t="s">
        <v>29</v>
      </c>
      <c r="JV3" t="s">
        <v>30</v>
      </c>
      <c r="JW3" t="s">
        <v>31</v>
      </c>
      <c r="JX3" t="s">
        <v>32</v>
      </c>
      <c r="JY3" t="s">
        <v>33</v>
      </c>
      <c r="JZ3" t="s">
        <v>34</v>
      </c>
      <c r="KA3" t="s">
        <v>47</v>
      </c>
      <c r="KB3" t="s">
        <v>48</v>
      </c>
      <c r="KC3" t="s">
        <v>49</v>
      </c>
      <c r="KD3" t="s">
        <v>50</v>
      </c>
      <c r="KE3" t="s">
        <v>51</v>
      </c>
      <c r="KF3" t="s">
        <v>52</v>
      </c>
      <c r="KG3" t="s">
        <v>53</v>
      </c>
      <c r="KH3" t="s">
        <v>35</v>
      </c>
      <c r="KI3" t="s">
        <v>36</v>
      </c>
      <c r="KJ3" t="s">
        <v>37</v>
      </c>
      <c r="KK3" t="s">
        <v>38</v>
      </c>
      <c r="KL3" t="s">
        <v>39</v>
      </c>
      <c r="KM3" t="s">
        <v>40</v>
      </c>
      <c r="KN3" t="s">
        <v>41</v>
      </c>
      <c r="KO3" t="s">
        <v>42</v>
      </c>
      <c r="KP3" t="s">
        <v>43</v>
      </c>
      <c r="KQ3" t="s">
        <v>44</v>
      </c>
      <c r="KR3" t="s">
        <v>45</v>
      </c>
      <c r="KS3" t="s">
        <v>46</v>
      </c>
      <c r="KT3" t="s">
        <v>55</v>
      </c>
      <c r="KU3" t="s">
        <v>56</v>
      </c>
      <c r="KV3" t="s">
        <v>57</v>
      </c>
      <c r="KW3" t="s">
        <v>58</v>
      </c>
      <c r="KX3" t="s">
        <v>59</v>
      </c>
      <c r="KY3" t="s">
        <v>60</v>
      </c>
      <c r="KZ3" t="s">
        <v>61</v>
      </c>
      <c r="LA3" t="s">
        <v>62</v>
      </c>
      <c r="LB3" t="s">
        <v>63</v>
      </c>
      <c r="LC3" t="s">
        <v>64</v>
      </c>
      <c r="LD3" t="s">
        <v>65</v>
      </c>
      <c r="LE3" t="s">
        <v>66</v>
      </c>
      <c r="LF3" t="s">
        <v>67</v>
      </c>
      <c r="LG3" t="s">
        <v>68</v>
      </c>
      <c r="LH3" t="s">
        <v>69</v>
      </c>
      <c r="LI3" t="s">
        <v>70</v>
      </c>
      <c r="LJ3" t="s">
        <v>71</v>
      </c>
      <c r="LK3" t="s">
        <v>72</v>
      </c>
      <c r="LL3" t="s">
        <v>73</v>
      </c>
      <c r="LM3" t="s">
        <v>74</v>
      </c>
      <c r="LN3" t="s">
        <v>75</v>
      </c>
      <c r="LO3" t="s">
        <v>76</v>
      </c>
    </row>
    <row r="4" spans="1:327" x14ac:dyDescent="0.2">
      <c r="A4" s="1">
        <v>3</v>
      </c>
      <c r="B4" s="3" t="s">
        <v>178</v>
      </c>
    </row>
    <row r="5" spans="1:327" x14ac:dyDescent="0.2">
      <c r="A5">
        <v>4</v>
      </c>
      <c r="B5" s="3" t="s">
        <v>179</v>
      </c>
    </row>
    <row r="6" spans="1:327" x14ac:dyDescent="0.2">
      <c r="A6">
        <v>5</v>
      </c>
      <c r="B6" s="3" t="s">
        <v>180</v>
      </c>
    </row>
    <row r="7" spans="1:327" x14ac:dyDescent="0.2">
      <c r="A7">
        <v>6</v>
      </c>
      <c r="B7" s="3" t="s">
        <v>181</v>
      </c>
    </row>
    <row r="8" spans="1:327" x14ac:dyDescent="0.2">
      <c r="A8">
        <v>7</v>
      </c>
      <c r="B8" s="3" t="s">
        <v>182</v>
      </c>
    </row>
    <row r="9" spans="1:327" x14ac:dyDescent="0.2">
      <c r="A9">
        <v>8</v>
      </c>
      <c r="B9" s="4" t="s">
        <v>183</v>
      </c>
    </row>
    <row r="10" spans="1:327" x14ac:dyDescent="0.2">
      <c r="A10">
        <v>9</v>
      </c>
      <c r="B10" s="3"/>
    </row>
    <row r="11" spans="1:327" x14ac:dyDescent="0.2">
      <c r="A11">
        <v>10</v>
      </c>
      <c r="B11" s="3"/>
    </row>
    <row r="12" spans="1:327" x14ac:dyDescent="0.2">
      <c r="A12">
        <v>11</v>
      </c>
      <c r="B12" s="3"/>
    </row>
    <row r="13" spans="1:327" x14ac:dyDescent="0.2">
      <c r="A13">
        <v>12</v>
      </c>
      <c r="B13" s="3"/>
    </row>
    <row r="14" spans="1:327" x14ac:dyDescent="0.2">
      <c r="A14">
        <v>13</v>
      </c>
      <c r="B14" s="3"/>
    </row>
    <row r="15" spans="1:327" x14ac:dyDescent="0.2">
      <c r="A15">
        <v>14</v>
      </c>
      <c r="B15" s="3"/>
    </row>
    <row r="16" spans="1:327" x14ac:dyDescent="0.2">
      <c r="A16">
        <v>15</v>
      </c>
      <c r="B16" s="3"/>
    </row>
    <row r="17" spans="1:2" x14ac:dyDescent="0.2">
      <c r="A17">
        <v>16</v>
      </c>
      <c r="B17" s="3"/>
    </row>
    <row r="18" spans="1:2" x14ac:dyDescent="0.2">
      <c r="A18">
        <v>17</v>
      </c>
      <c r="B18" s="3"/>
    </row>
    <row r="19" spans="1:2" x14ac:dyDescent="0.2">
      <c r="A19">
        <v>18</v>
      </c>
      <c r="B19" s="3"/>
    </row>
    <row r="20" spans="1:2" x14ac:dyDescent="0.2">
      <c r="A20">
        <v>19</v>
      </c>
      <c r="B20" s="3"/>
    </row>
    <row r="21" spans="1:2" x14ac:dyDescent="0.2">
      <c r="A21">
        <v>20</v>
      </c>
      <c r="B21" s="3"/>
    </row>
    <row r="22" spans="1:2" x14ac:dyDescent="0.2">
      <c r="A22">
        <v>21</v>
      </c>
      <c r="B22" s="3"/>
    </row>
    <row r="23" spans="1:2" x14ac:dyDescent="0.2">
      <c r="A23">
        <v>22</v>
      </c>
      <c r="B23" s="3"/>
    </row>
    <row r="24" spans="1:2" x14ac:dyDescent="0.2">
      <c r="A24">
        <v>23</v>
      </c>
      <c r="B24" s="3"/>
    </row>
    <row r="25" spans="1:2" x14ac:dyDescent="0.2">
      <c r="A25">
        <v>24</v>
      </c>
      <c r="B25" s="3"/>
    </row>
    <row r="26" spans="1:2" x14ac:dyDescent="0.2">
      <c r="A26">
        <v>25</v>
      </c>
      <c r="B26" s="3"/>
    </row>
    <row r="27" spans="1:2" x14ac:dyDescent="0.2">
      <c r="A27">
        <v>26</v>
      </c>
      <c r="B27" s="3"/>
    </row>
    <row r="28" spans="1:2" x14ac:dyDescent="0.2">
      <c r="A28">
        <v>27</v>
      </c>
      <c r="B28" s="3"/>
    </row>
    <row r="29" spans="1:2" x14ac:dyDescent="0.2">
      <c r="A29">
        <v>28</v>
      </c>
      <c r="B29" s="5"/>
    </row>
    <row r="30" spans="1:2" x14ac:dyDescent="0.2">
      <c r="A30">
        <v>29</v>
      </c>
      <c r="B30" s="5"/>
    </row>
    <row r="31" spans="1:2" x14ac:dyDescent="0.2">
      <c r="A31">
        <v>30</v>
      </c>
      <c r="B31" s="3"/>
    </row>
    <row r="32" spans="1:2" x14ac:dyDescent="0.2">
      <c r="A32">
        <v>31</v>
      </c>
      <c r="B32" s="6"/>
    </row>
    <row r="33" spans="1:2" x14ac:dyDescent="0.2">
      <c r="A33">
        <v>32</v>
      </c>
      <c r="B33" s="3"/>
    </row>
    <row r="34" spans="1:2" x14ac:dyDescent="0.2">
      <c r="A34">
        <v>33</v>
      </c>
      <c r="B34" s="3"/>
    </row>
    <row r="35" spans="1:2" x14ac:dyDescent="0.2">
      <c r="A35">
        <v>34</v>
      </c>
      <c r="B35" s="3"/>
    </row>
    <row r="36" spans="1:2" x14ac:dyDescent="0.2">
      <c r="A36">
        <v>35</v>
      </c>
      <c r="B36" s="3"/>
    </row>
    <row r="37" spans="1:2" x14ac:dyDescent="0.2">
      <c r="A37">
        <v>36</v>
      </c>
      <c r="B37" s="3"/>
    </row>
    <row r="38" spans="1:2" x14ac:dyDescent="0.2">
      <c r="A38">
        <v>37</v>
      </c>
      <c r="B38" s="3"/>
    </row>
    <row r="39" spans="1:2" x14ac:dyDescent="0.2">
      <c r="A39">
        <v>38</v>
      </c>
      <c r="B39" s="6"/>
    </row>
    <row r="40" spans="1:2" x14ac:dyDescent="0.2">
      <c r="A40">
        <v>39</v>
      </c>
      <c r="B40" s="6"/>
    </row>
    <row r="41" spans="1:2" x14ac:dyDescent="0.2">
      <c r="A41">
        <v>40</v>
      </c>
      <c r="B41" s="3"/>
    </row>
    <row r="42" spans="1:2" x14ac:dyDescent="0.2">
      <c r="A42">
        <v>41</v>
      </c>
      <c r="B42" s="3"/>
    </row>
    <row r="43" spans="1:2" x14ac:dyDescent="0.2">
      <c r="A43">
        <v>42</v>
      </c>
      <c r="B43" s="3"/>
    </row>
    <row r="44" spans="1:2" x14ac:dyDescent="0.2">
      <c r="A44">
        <v>43</v>
      </c>
      <c r="B44" s="3"/>
    </row>
    <row r="45" spans="1:2" x14ac:dyDescent="0.2">
      <c r="A45">
        <v>44</v>
      </c>
      <c r="B45" s="3"/>
    </row>
    <row r="46" spans="1:2" x14ac:dyDescent="0.2">
      <c r="A46">
        <v>45</v>
      </c>
      <c r="B46" s="5"/>
    </row>
    <row r="47" spans="1:2" x14ac:dyDescent="0.2">
      <c r="A47">
        <v>46</v>
      </c>
      <c r="B47" s="3"/>
    </row>
    <row r="48" spans="1:2" x14ac:dyDescent="0.2">
      <c r="A48">
        <v>47</v>
      </c>
      <c r="B48" s="6"/>
    </row>
    <row r="49" spans="1:2" x14ac:dyDescent="0.2">
      <c r="A49">
        <v>48</v>
      </c>
      <c r="B49" s="6"/>
    </row>
    <row r="50" spans="1:2" x14ac:dyDescent="0.2">
      <c r="A50">
        <v>49</v>
      </c>
      <c r="B50" s="5"/>
    </row>
    <row r="51" spans="1:2" x14ac:dyDescent="0.2">
      <c r="A51">
        <v>50</v>
      </c>
      <c r="B51" s="3"/>
    </row>
    <row r="52" spans="1:2" x14ac:dyDescent="0.2">
      <c r="A52">
        <v>51</v>
      </c>
      <c r="B52" s="3"/>
    </row>
    <row r="53" spans="1:2" x14ac:dyDescent="0.2">
      <c r="A53">
        <v>52</v>
      </c>
      <c r="B53" s="3"/>
    </row>
    <row r="54" spans="1:2" x14ac:dyDescent="0.2">
      <c r="A54">
        <v>53</v>
      </c>
      <c r="B54" s="3"/>
    </row>
    <row r="55" spans="1:2" x14ac:dyDescent="0.2">
      <c r="A55">
        <v>54</v>
      </c>
      <c r="B55" s="3"/>
    </row>
    <row r="56" spans="1:2" x14ac:dyDescent="0.2">
      <c r="A56">
        <v>55</v>
      </c>
      <c r="B56" s="3"/>
    </row>
    <row r="57" spans="1:2" x14ac:dyDescent="0.2">
      <c r="A57">
        <v>56</v>
      </c>
      <c r="B57" s="3"/>
    </row>
    <row r="58" spans="1:2" x14ac:dyDescent="0.2">
      <c r="A58">
        <v>57</v>
      </c>
      <c r="B58" s="3"/>
    </row>
    <row r="59" spans="1:2" x14ac:dyDescent="0.2">
      <c r="A59">
        <v>58</v>
      </c>
      <c r="B59" s="3"/>
    </row>
    <row r="60" spans="1:2" x14ac:dyDescent="0.2">
      <c r="A60">
        <v>59</v>
      </c>
      <c r="B60" s="5"/>
    </row>
    <row r="61" spans="1:2" x14ac:dyDescent="0.2">
      <c r="A61">
        <v>60</v>
      </c>
      <c r="B61" s="3"/>
    </row>
    <row r="62" spans="1:2" x14ac:dyDescent="0.2">
      <c r="A62">
        <v>61</v>
      </c>
      <c r="B62" s="3"/>
    </row>
    <row r="63" spans="1:2" x14ac:dyDescent="0.2">
      <c r="A63">
        <v>62</v>
      </c>
      <c r="B63" s="6"/>
    </row>
    <row r="64" spans="1:2" x14ac:dyDescent="0.2">
      <c r="A64">
        <v>63</v>
      </c>
      <c r="B64" s="6"/>
    </row>
    <row r="65" spans="1:2" x14ac:dyDescent="0.2">
      <c r="A65">
        <v>64</v>
      </c>
      <c r="B65" s="7"/>
    </row>
    <row r="66" spans="1:2" x14ac:dyDescent="0.2">
      <c r="A66">
        <v>65</v>
      </c>
      <c r="B66" s="6"/>
    </row>
    <row r="67" spans="1:2" x14ac:dyDescent="0.2">
      <c r="A67">
        <v>66</v>
      </c>
      <c r="B67" s="6"/>
    </row>
    <row r="68" spans="1:2" x14ac:dyDescent="0.2">
      <c r="A68">
        <v>67</v>
      </c>
      <c r="B68" s="6"/>
    </row>
    <row r="69" spans="1:2" x14ac:dyDescent="0.2">
      <c r="A69">
        <v>68</v>
      </c>
      <c r="B69" s="6"/>
    </row>
    <row r="70" spans="1:2" x14ac:dyDescent="0.2">
      <c r="A70">
        <v>69</v>
      </c>
      <c r="B70" s="6"/>
    </row>
    <row r="71" spans="1:2" x14ac:dyDescent="0.2">
      <c r="A71">
        <v>70</v>
      </c>
      <c r="B71" s="6"/>
    </row>
    <row r="72" spans="1:2" x14ac:dyDescent="0.2">
      <c r="A72">
        <v>71</v>
      </c>
      <c r="B72" s="6"/>
    </row>
    <row r="73" spans="1:2" x14ac:dyDescent="0.2">
      <c r="A73">
        <v>72</v>
      </c>
      <c r="B73" s="6"/>
    </row>
    <row r="74" spans="1:2" x14ac:dyDescent="0.2">
      <c r="A74">
        <v>73</v>
      </c>
      <c r="B74" s="5"/>
    </row>
    <row r="75" spans="1:2" x14ac:dyDescent="0.2">
      <c r="A75">
        <v>74</v>
      </c>
      <c r="B75" s="6"/>
    </row>
    <row r="76" spans="1:2" x14ac:dyDescent="0.2">
      <c r="A76">
        <v>75</v>
      </c>
      <c r="B76" s="6"/>
    </row>
    <row r="77" spans="1:2" x14ac:dyDescent="0.2">
      <c r="A77">
        <v>76</v>
      </c>
      <c r="B77" s="6"/>
    </row>
    <row r="78" spans="1:2" x14ac:dyDescent="0.2">
      <c r="A78">
        <v>77</v>
      </c>
      <c r="B78" s="7"/>
    </row>
    <row r="79" spans="1:2" x14ac:dyDescent="0.2">
      <c r="A79">
        <v>78</v>
      </c>
      <c r="B79" s="7"/>
    </row>
    <row r="80" spans="1:2" x14ac:dyDescent="0.2">
      <c r="A80">
        <v>79</v>
      </c>
      <c r="B80" s="7"/>
    </row>
    <row r="81" spans="1:2" x14ac:dyDescent="0.2">
      <c r="A81">
        <v>80</v>
      </c>
      <c r="B81" s="7"/>
    </row>
    <row r="82" spans="1:2" x14ac:dyDescent="0.2">
      <c r="A82">
        <v>81</v>
      </c>
      <c r="B82" s="2"/>
    </row>
    <row r="83" spans="1:2" x14ac:dyDescent="0.2">
      <c r="A83">
        <v>82</v>
      </c>
      <c r="B83" s="2"/>
    </row>
    <row r="84" spans="1:2" x14ac:dyDescent="0.2">
      <c r="A84">
        <v>83</v>
      </c>
      <c r="B84" s="2"/>
    </row>
    <row r="85" spans="1:2" x14ac:dyDescent="0.2">
      <c r="A85">
        <v>84</v>
      </c>
      <c r="B85" s="2"/>
    </row>
    <row r="86" spans="1:2" x14ac:dyDescent="0.2">
      <c r="A86">
        <v>85</v>
      </c>
      <c r="B86" s="2"/>
    </row>
    <row r="87" spans="1:2" x14ac:dyDescent="0.2">
      <c r="A87">
        <v>86</v>
      </c>
      <c r="B87" s="2"/>
    </row>
    <row r="88" spans="1:2" x14ac:dyDescent="0.2">
      <c r="A88">
        <v>87</v>
      </c>
      <c r="B88" s="2"/>
    </row>
    <row r="89" spans="1:2" x14ac:dyDescent="0.2">
      <c r="A89">
        <v>88</v>
      </c>
      <c r="B89" s="2"/>
    </row>
    <row r="90" spans="1:2" x14ac:dyDescent="0.2">
      <c r="A90">
        <v>89</v>
      </c>
      <c r="B90" s="2"/>
    </row>
    <row r="91" spans="1:2" x14ac:dyDescent="0.2">
      <c r="A91">
        <v>90</v>
      </c>
      <c r="B91" s="2"/>
    </row>
    <row r="92" spans="1:2" x14ac:dyDescent="0.2">
      <c r="A92">
        <v>91</v>
      </c>
      <c r="B92" s="2"/>
    </row>
    <row r="93" spans="1:2" x14ac:dyDescent="0.2">
      <c r="A93">
        <v>92</v>
      </c>
      <c r="B93" s="2"/>
    </row>
    <row r="94" spans="1:2" x14ac:dyDescent="0.2">
      <c r="A94">
        <v>93</v>
      </c>
      <c r="B94" s="2"/>
    </row>
    <row r="95" spans="1:2" x14ac:dyDescent="0.2">
      <c r="A95">
        <v>94</v>
      </c>
      <c r="B95" s="2"/>
    </row>
    <row r="96" spans="1:2" x14ac:dyDescent="0.2">
      <c r="A96">
        <v>95</v>
      </c>
      <c r="B96" s="2"/>
    </row>
    <row r="97" spans="1:2" x14ac:dyDescent="0.2">
      <c r="A97">
        <v>96</v>
      </c>
      <c r="B97" s="2"/>
    </row>
    <row r="98" spans="1:2" x14ac:dyDescent="0.2">
      <c r="A98">
        <v>97</v>
      </c>
      <c r="B98" s="2"/>
    </row>
    <row r="99" spans="1:2" x14ac:dyDescent="0.2">
      <c r="A99">
        <v>98</v>
      </c>
      <c r="B99" s="2"/>
    </row>
    <row r="100" spans="1:2" x14ac:dyDescent="0.2">
      <c r="A100">
        <v>99</v>
      </c>
      <c r="B100" s="2"/>
    </row>
    <row r="101" spans="1:2" x14ac:dyDescent="0.2">
      <c r="A101">
        <v>100</v>
      </c>
      <c r="B101" s="2"/>
    </row>
    <row r="102" spans="1:2" x14ac:dyDescent="0.2">
      <c r="A102">
        <v>101</v>
      </c>
    </row>
    <row r="103" spans="1:2" x14ac:dyDescent="0.2">
      <c r="A103">
        <v>102</v>
      </c>
    </row>
    <row r="104" spans="1:2" x14ac:dyDescent="0.2">
      <c r="A104">
        <v>103</v>
      </c>
    </row>
    <row r="105" spans="1:2" x14ac:dyDescent="0.2">
      <c r="A105">
        <v>104</v>
      </c>
    </row>
    <row r="106" spans="1:2" x14ac:dyDescent="0.2">
      <c r="A106">
        <v>105</v>
      </c>
    </row>
    <row r="107" spans="1:2" x14ac:dyDescent="0.2">
      <c r="A107">
        <v>106</v>
      </c>
    </row>
    <row r="108" spans="1:2" x14ac:dyDescent="0.2">
      <c r="A108">
        <v>107</v>
      </c>
    </row>
    <row r="109" spans="1:2" x14ac:dyDescent="0.2">
      <c r="A109" t="s">
        <v>81</v>
      </c>
    </row>
    <row r="110" spans="1:2" x14ac:dyDescent="0.2">
      <c r="A110" t="s">
        <v>83</v>
      </c>
    </row>
    <row r="111" spans="1:2" x14ac:dyDescent="0.2">
      <c r="A111" t="s">
        <v>84</v>
      </c>
    </row>
    <row r="112" spans="1:2" x14ac:dyDescent="0.2">
      <c r="A112" t="s">
        <v>88</v>
      </c>
    </row>
    <row r="113" spans="1:1" x14ac:dyDescent="0.2">
      <c r="A113" t="s">
        <v>95</v>
      </c>
    </row>
    <row r="114" spans="1:1" x14ac:dyDescent="0.2">
      <c r="A114" t="s">
        <v>99</v>
      </c>
    </row>
    <row r="115" spans="1:1" x14ac:dyDescent="0.2">
      <c r="A115" t="s">
        <v>100</v>
      </c>
    </row>
    <row r="116" spans="1:1" x14ac:dyDescent="0.2">
      <c r="A116" t="s">
        <v>102</v>
      </c>
    </row>
    <row r="117" spans="1:1" x14ac:dyDescent="0.2">
      <c r="A117" t="s">
        <v>108</v>
      </c>
    </row>
    <row r="118" spans="1:1" x14ac:dyDescent="0.2">
      <c r="A118" t="s">
        <v>110</v>
      </c>
    </row>
    <row r="119" spans="1:1" x14ac:dyDescent="0.2">
      <c r="A119" t="s">
        <v>115</v>
      </c>
    </row>
    <row r="120" spans="1:1" x14ac:dyDescent="0.2">
      <c r="A120" t="s">
        <v>116</v>
      </c>
    </row>
    <row r="121" spans="1:1" x14ac:dyDescent="0.2">
      <c r="A121" t="s">
        <v>87</v>
      </c>
    </row>
    <row r="122" spans="1:1" x14ac:dyDescent="0.2">
      <c r="A122" t="s">
        <v>89</v>
      </c>
    </row>
    <row r="123" spans="1:1" x14ac:dyDescent="0.2">
      <c r="A123" t="s">
        <v>90</v>
      </c>
    </row>
    <row r="124" spans="1:1" x14ac:dyDescent="0.2">
      <c r="A124" t="s">
        <v>114</v>
      </c>
    </row>
    <row r="125" spans="1:1" x14ac:dyDescent="0.2">
      <c r="A125" t="s">
        <v>133</v>
      </c>
    </row>
    <row r="126" spans="1:1" x14ac:dyDescent="0.2">
      <c r="A126" t="s">
        <v>134</v>
      </c>
    </row>
    <row r="127" spans="1:1" x14ac:dyDescent="0.2">
      <c r="A127" t="s">
        <v>135</v>
      </c>
    </row>
    <row r="128" spans="1:1" x14ac:dyDescent="0.2">
      <c r="A128" t="s">
        <v>136</v>
      </c>
    </row>
    <row r="129" spans="1:1" x14ac:dyDescent="0.2">
      <c r="A129" t="s">
        <v>137</v>
      </c>
    </row>
    <row r="130" spans="1:1" x14ac:dyDescent="0.2">
      <c r="A130" t="s">
        <v>138</v>
      </c>
    </row>
    <row r="131" spans="1:1" x14ac:dyDescent="0.2">
      <c r="A131" t="s">
        <v>117</v>
      </c>
    </row>
    <row r="132" spans="1:1" x14ac:dyDescent="0.2">
      <c r="A132" t="s">
        <v>85</v>
      </c>
    </row>
    <row r="133" spans="1:1" x14ac:dyDescent="0.2">
      <c r="A133" t="s">
        <v>91</v>
      </c>
    </row>
    <row r="134" spans="1:1" x14ac:dyDescent="0.2">
      <c r="A134" t="s">
        <v>93</v>
      </c>
    </row>
    <row r="135" spans="1:1" x14ac:dyDescent="0.2">
      <c r="A135" t="s">
        <v>118</v>
      </c>
    </row>
    <row r="136" spans="1:1" x14ac:dyDescent="0.2">
      <c r="A136" t="s">
        <v>119</v>
      </c>
    </row>
    <row r="137" spans="1:1" x14ac:dyDescent="0.2">
      <c r="A137" t="s">
        <v>120</v>
      </c>
    </row>
    <row r="138" spans="1:1" x14ac:dyDescent="0.2">
      <c r="A138" t="s">
        <v>121</v>
      </c>
    </row>
    <row r="139" spans="1:1" x14ac:dyDescent="0.2">
      <c r="A139" t="s">
        <v>122</v>
      </c>
    </row>
    <row r="140" spans="1:1" x14ac:dyDescent="0.2">
      <c r="A140" t="s">
        <v>123</v>
      </c>
    </row>
    <row r="141" spans="1:1" x14ac:dyDescent="0.2">
      <c r="A141" t="s">
        <v>125</v>
      </c>
    </row>
    <row r="142" spans="1:1" x14ac:dyDescent="0.2">
      <c r="A142" t="s">
        <v>126</v>
      </c>
    </row>
    <row r="143" spans="1:1" x14ac:dyDescent="0.2">
      <c r="A143" t="s">
        <v>86</v>
      </c>
    </row>
    <row r="144" spans="1:1" x14ac:dyDescent="0.2">
      <c r="A144" t="s">
        <v>94</v>
      </c>
    </row>
    <row r="145" spans="1:1" x14ac:dyDescent="0.2">
      <c r="A145" t="s">
        <v>107</v>
      </c>
    </row>
    <row r="146" spans="1:1" x14ac:dyDescent="0.2">
      <c r="A146" t="s">
        <v>92</v>
      </c>
    </row>
    <row r="147" spans="1:1" x14ac:dyDescent="0.2">
      <c r="A147" t="s">
        <v>109</v>
      </c>
    </row>
    <row r="148" spans="1:1" x14ac:dyDescent="0.2">
      <c r="A148" t="s">
        <v>111</v>
      </c>
    </row>
    <row r="149" spans="1:1" x14ac:dyDescent="0.2">
      <c r="A149" t="s">
        <v>128</v>
      </c>
    </row>
    <row r="150" spans="1:1" x14ac:dyDescent="0.2">
      <c r="A150" t="s">
        <v>130</v>
      </c>
    </row>
    <row r="151" spans="1:1" x14ac:dyDescent="0.2">
      <c r="A151" t="s">
        <v>105</v>
      </c>
    </row>
    <row r="152" spans="1:1" x14ac:dyDescent="0.2">
      <c r="A152" t="s">
        <v>104</v>
      </c>
    </row>
    <row r="153" spans="1:1" x14ac:dyDescent="0.2">
      <c r="A153" t="s">
        <v>106</v>
      </c>
    </row>
    <row r="154" spans="1:1" x14ac:dyDescent="0.2">
      <c r="A154" t="s">
        <v>96</v>
      </c>
    </row>
    <row r="155" spans="1:1" x14ac:dyDescent="0.2">
      <c r="A155" t="s">
        <v>112</v>
      </c>
    </row>
    <row r="156" spans="1:1" x14ac:dyDescent="0.2">
      <c r="A156" t="s">
        <v>129</v>
      </c>
    </row>
    <row r="157" spans="1:1" x14ac:dyDescent="0.2">
      <c r="A157" t="s">
        <v>131</v>
      </c>
    </row>
    <row r="158" spans="1:1" x14ac:dyDescent="0.2">
      <c r="A158" t="s">
        <v>139</v>
      </c>
    </row>
    <row r="159" spans="1:1" x14ac:dyDescent="0.2">
      <c r="A159" t="s">
        <v>174</v>
      </c>
    </row>
    <row r="160" spans="1:1" x14ac:dyDescent="0.2">
      <c r="A160" t="s">
        <v>173</v>
      </c>
    </row>
    <row r="161" spans="1:1" x14ac:dyDescent="0.2">
      <c r="A161" t="s">
        <v>132</v>
      </c>
    </row>
    <row r="162" spans="1:1" x14ac:dyDescent="0.2">
      <c r="A162" t="s">
        <v>127</v>
      </c>
    </row>
    <row r="163" spans="1:1" x14ac:dyDescent="0.2">
      <c r="A163" t="s">
        <v>150</v>
      </c>
    </row>
    <row r="164" spans="1:1" x14ac:dyDescent="0.2">
      <c r="A164" t="s">
        <v>151</v>
      </c>
    </row>
    <row r="165" spans="1:1" x14ac:dyDescent="0.2">
      <c r="A165" t="s">
        <v>152</v>
      </c>
    </row>
    <row r="166" spans="1:1" x14ac:dyDescent="0.2">
      <c r="A166" t="s">
        <v>153</v>
      </c>
    </row>
    <row r="167" spans="1:1" x14ac:dyDescent="0.2">
      <c r="A167" t="s">
        <v>154</v>
      </c>
    </row>
    <row r="168" spans="1:1" x14ac:dyDescent="0.2">
      <c r="A168" t="s">
        <v>155</v>
      </c>
    </row>
    <row r="169" spans="1:1" x14ac:dyDescent="0.2">
      <c r="A169" t="s">
        <v>156</v>
      </c>
    </row>
    <row r="170" spans="1:1" x14ac:dyDescent="0.2">
      <c r="A170" t="s">
        <v>157</v>
      </c>
    </row>
    <row r="171" spans="1:1" x14ac:dyDescent="0.2">
      <c r="A171" t="s">
        <v>158</v>
      </c>
    </row>
    <row r="172" spans="1:1" x14ac:dyDescent="0.2">
      <c r="A172" t="s">
        <v>159</v>
      </c>
    </row>
    <row r="173" spans="1:1" x14ac:dyDescent="0.2">
      <c r="A173" t="s">
        <v>160</v>
      </c>
    </row>
    <row r="174" spans="1:1" x14ac:dyDescent="0.2">
      <c r="A174" t="s">
        <v>161</v>
      </c>
    </row>
    <row r="175" spans="1:1" x14ac:dyDescent="0.2">
      <c r="A175" t="s">
        <v>162</v>
      </c>
    </row>
    <row r="176" spans="1:1" x14ac:dyDescent="0.2">
      <c r="A176" t="s">
        <v>163</v>
      </c>
    </row>
    <row r="177" spans="1:1" x14ac:dyDescent="0.2">
      <c r="A177" t="s">
        <v>164</v>
      </c>
    </row>
    <row r="178" spans="1:1" x14ac:dyDescent="0.2">
      <c r="A178" t="s">
        <v>165</v>
      </c>
    </row>
    <row r="179" spans="1:1" x14ac:dyDescent="0.2">
      <c r="A179" t="s">
        <v>166</v>
      </c>
    </row>
    <row r="180" spans="1:1" x14ac:dyDescent="0.2">
      <c r="A180" t="s">
        <v>167</v>
      </c>
    </row>
    <row r="181" spans="1:1" x14ac:dyDescent="0.2">
      <c r="A181" t="s">
        <v>168</v>
      </c>
    </row>
    <row r="182" spans="1:1" x14ac:dyDescent="0.2">
      <c r="A182" t="s">
        <v>169</v>
      </c>
    </row>
    <row r="183" spans="1:1" x14ac:dyDescent="0.2">
      <c r="A183" t="s">
        <v>170</v>
      </c>
    </row>
    <row r="184" spans="1:1" x14ac:dyDescent="0.2">
      <c r="A184" t="s">
        <v>171</v>
      </c>
    </row>
    <row r="185" spans="1:1" x14ac:dyDescent="0.2">
      <c r="A185" t="s">
        <v>172</v>
      </c>
    </row>
    <row r="186" spans="1:1" x14ac:dyDescent="0.2">
      <c r="A186" t="s">
        <v>140</v>
      </c>
    </row>
    <row r="187" spans="1:1" x14ac:dyDescent="0.2">
      <c r="A187" t="s">
        <v>79</v>
      </c>
    </row>
    <row r="188" spans="1:1" x14ac:dyDescent="0.2">
      <c r="A188" t="s">
        <v>80</v>
      </c>
    </row>
    <row r="189" spans="1:1" x14ac:dyDescent="0.2">
      <c r="A189" t="s">
        <v>97</v>
      </c>
    </row>
    <row r="190" spans="1:1" x14ac:dyDescent="0.2">
      <c r="A190" t="s">
        <v>98</v>
      </c>
    </row>
    <row r="191" spans="1:1" x14ac:dyDescent="0.2">
      <c r="A191" t="s">
        <v>101</v>
      </c>
    </row>
    <row r="192" spans="1:1" x14ac:dyDescent="0.2">
      <c r="A192" t="s">
        <v>103</v>
      </c>
    </row>
    <row r="193" spans="1:1" x14ac:dyDescent="0.2">
      <c r="A193" t="s">
        <v>141</v>
      </c>
    </row>
    <row r="194" spans="1:1" x14ac:dyDescent="0.2">
      <c r="A194" t="s">
        <v>142</v>
      </c>
    </row>
    <row r="195" spans="1:1" x14ac:dyDescent="0.2">
      <c r="A195" t="s">
        <v>143</v>
      </c>
    </row>
    <row r="196" spans="1:1" x14ac:dyDescent="0.2">
      <c r="A196" t="s">
        <v>113</v>
      </c>
    </row>
    <row r="197" spans="1:1" x14ac:dyDescent="0.2">
      <c r="A197" t="s">
        <v>82</v>
      </c>
    </row>
    <row r="198" spans="1:1" x14ac:dyDescent="0.2">
      <c r="A198" t="s">
        <v>144</v>
      </c>
    </row>
    <row r="199" spans="1:1" x14ac:dyDescent="0.2">
      <c r="A199" t="s">
        <v>145</v>
      </c>
    </row>
    <row r="200" spans="1:1" x14ac:dyDescent="0.2">
      <c r="A200" t="s">
        <v>146</v>
      </c>
    </row>
    <row r="201" spans="1:1" x14ac:dyDescent="0.2">
      <c r="A201" t="s">
        <v>147</v>
      </c>
    </row>
    <row r="202" spans="1:1" x14ac:dyDescent="0.2">
      <c r="A202" t="s">
        <v>148</v>
      </c>
    </row>
    <row r="203" spans="1:1" x14ac:dyDescent="0.2">
      <c r="A203" t="s">
        <v>149</v>
      </c>
    </row>
    <row r="204" spans="1:1" x14ac:dyDescent="0.2">
      <c r="A204" t="s">
        <v>124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0"/>
  <dimension ref="A1:E11"/>
  <sheetViews>
    <sheetView workbookViewId="0">
      <selection activeCell="E17" sqref="E17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v>46029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ht="24.95" customHeight="1" x14ac:dyDescent="0.2">
      <c r="A4" s="27">
        <v>1</v>
      </c>
      <c r="B4" s="18" t="str">
        <f>FeederNames!B2</f>
        <v>Gr1.EED_Incomer_1</v>
      </c>
      <c r="C4" s="10">
        <v>183815</v>
      </c>
      <c r="D4" s="10">
        <v>184082</v>
      </c>
      <c r="E4" s="28">
        <v>267</v>
      </c>
    </row>
    <row r="5" spans="1:5" ht="24.95" customHeight="1" x14ac:dyDescent="0.2">
      <c r="A5" s="27">
        <v>2</v>
      </c>
      <c r="B5" s="18" t="str">
        <f>FeederNames!B3</f>
        <v>Gr1.EED_Incomer_2</v>
      </c>
      <c r="C5" s="10">
        <v>2454</v>
      </c>
      <c r="D5" s="10">
        <v>2489</v>
      </c>
      <c r="E5" s="28">
        <v>35</v>
      </c>
    </row>
    <row r="6" spans="1:5" ht="24.95" customHeight="1" x14ac:dyDescent="0.2">
      <c r="A6" s="27">
        <v>3</v>
      </c>
      <c r="B6" s="18" t="str">
        <f>FeederNames!B4</f>
        <v>Gr1.EED_Research_Wing_Incomer_1</v>
      </c>
      <c r="C6" s="10">
        <v>12375</v>
      </c>
      <c r="D6" s="10">
        <v>12592</v>
      </c>
      <c r="E6" s="28">
        <v>217</v>
      </c>
    </row>
    <row r="7" spans="1:5" ht="24.95" customHeight="1" x14ac:dyDescent="0.2">
      <c r="A7" s="27">
        <v>4</v>
      </c>
      <c r="B7" s="18" t="str">
        <f>FeederNames!B5</f>
        <v>Gr1.EED_Research_Wing_Incomer_2</v>
      </c>
      <c r="C7" s="10">
        <v>2723</v>
      </c>
      <c r="D7" s="10">
        <v>2766</v>
      </c>
      <c r="E7" s="28">
        <v>43</v>
      </c>
    </row>
    <row r="8" spans="1:5" ht="24.95" customHeight="1" x14ac:dyDescent="0.2">
      <c r="A8" s="27">
        <v>5</v>
      </c>
      <c r="B8" s="18" t="str">
        <f>FeederNames!B6</f>
        <v>Gr1.EED_Load_Feeder</v>
      </c>
      <c r="C8" s="10">
        <v>6527</v>
      </c>
      <c r="D8" s="10">
        <v>6625</v>
      </c>
      <c r="E8" s="28">
        <v>98</v>
      </c>
    </row>
    <row r="9" spans="1:5" ht="24.95" customHeight="1" x14ac:dyDescent="0.2">
      <c r="A9" s="27">
        <v>6</v>
      </c>
      <c r="B9" s="18" t="str">
        <f>FeederNames!B7</f>
        <v>Gr1.Civil_Load_Feeder</v>
      </c>
      <c r="C9" s="10">
        <v>19526</v>
      </c>
      <c r="D9" s="10">
        <v>19682</v>
      </c>
      <c r="E9" s="28">
        <v>156</v>
      </c>
    </row>
    <row r="10" spans="1:5" ht="24.95" customHeight="1" x14ac:dyDescent="0.2">
      <c r="A10" s="27">
        <v>7</v>
      </c>
      <c r="B10" s="18" t="str">
        <f>FeederNames!B8</f>
        <v>Gr1.EED_Research_Wing_Solar</v>
      </c>
      <c r="C10" s="10">
        <v>16546</v>
      </c>
      <c r="D10" s="10">
        <v>16815</v>
      </c>
      <c r="E10" s="28">
        <v>269</v>
      </c>
    </row>
    <row r="11" spans="1:5" ht="24.95" customHeight="1" thickBot="1" x14ac:dyDescent="0.25">
      <c r="A11" s="29">
        <v>8</v>
      </c>
      <c r="B11" s="30" t="str">
        <f>FeederNames!B9</f>
        <v>Gr1.EED_Solar</v>
      </c>
      <c r="C11" s="31">
        <v>15448</v>
      </c>
      <c r="D11" s="31">
        <v>15715</v>
      </c>
      <c r="E11" s="32">
        <v>267</v>
      </c>
    </row>
  </sheetData>
  <mergeCells count="4">
    <mergeCell ref="B2:B3"/>
    <mergeCell ref="A1:C1"/>
    <mergeCell ref="A2:A3"/>
    <mergeCell ref="C2:E2"/>
  </mergeCells>
  <phoneticPr fontId="7" type="noConversion"/>
  <printOptions headings="1"/>
  <pageMargins left="0.7" right="0.7" top="0.72" bottom="0.75" header="0.27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9A09-78F3-4DCD-B420-CE645ADB4FB4}">
  <sheetPr codeName="Sheet1"/>
  <dimension ref="A1:E18"/>
  <sheetViews>
    <sheetView tabSelected="1" workbookViewId="0">
      <selection activeCell="C15" sqref="C15"/>
    </sheetView>
  </sheetViews>
  <sheetFormatPr defaultRowHeight="12.75" x14ac:dyDescent="0.2"/>
  <cols>
    <col min="1" max="1" width="12.28515625" style="8" customWidth="1"/>
    <col min="2" max="2" width="64.42578125" style="9" customWidth="1"/>
    <col min="3" max="3" width="18.85546875" style="9" customWidth="1"/>
    <col min="4" max="5" width="20.42578125" style="9" customWidth="1"/>
    <col min="6" max="16384" width="9.140625" style="9"/>
  </cols>
  <sheetData>
    <row r="1" spans="1:5" ht="52.5" customHeight="1" x14ac:dyDescent="0.2">
      <c r="A1" s="43" t="s">
        <v>184</v>
      </c>
      <c r="B1" s="44"/>
      <c r="C1" s="45"/>
      <c r="D1" s="24" t="s">
        <v>2</v>
      </c>
      <c r="E1" s="25">
        <f>Daily_Consumption!E1</f>
        <v>46029</v>
      </c>
    </row>
    <row r="2" spans="1:5" ht="33" customHeight="1" x14ac:dyDescent="0.2">
      <c r="A2" s="46" t="s">
        <v>0</v>
      </c>
      <c r="B2" s="41" t="s">
        <v>1</v>
      </c>
      <c r="C2" s="48" t="s">
        <v>175</v>
      </c>
      <c r="D2" s="49"/>
      <c r="E2" s="50"/>
    </row>
    <row r="3" spans="1:5" ht="27" customHeight="1" x14ac:dyDescent="0.2">
      <c r="A3" s="47"/>
      <c r="B3" s="42"/>
      <c r="C3" s="16" t="s">
        <v>7</v>
      </c>
      <c r="D3" s="16" t="s">
        <v>8</v>
      </c>
      <c r="E3" s="26" t="s">
        <v>9</v>
      </c>
    </row>
    <row r="4" spans="1:5" s="36" customFormat="1" ht="24.95" customHeight="1" x14ac:dyDescent="0.25">
      <c r="A4" s="33">
        <v>1</v>
      </c>
      <c r="B4" s="34" t="str">
        <f>FeederNames!B2</f>
        <v>Gr1.EED_Incomer_1</v>
      </c>
      <c r="C4" s="35">
        <f>Daily_Consumption!C4</f>
        <v>183815</v>
      </c>
      <c r="D4" s="35">
        <f>Daily_Consumption!D4</f>
        <v>184082</v>
      </c>
      <c r="E4" s="35">
        <f>Daily_Consumption!E4</f>
        <v>267</v>
      </c>
    </row>
    <row r="5" spans="1:5" s="36" customFormat="1" ht="24.95" customHeight="1" x14ac:dyDescent="0.25">
      <c r="A5" s="33">
        <v>2</v>
      </c>
      <c r="B5" s="34" t="str">
        <f>FeederNames!B3</f>
        <v>Gr1.EED_Incomer_2</v>
      </c>
      <c r="C5" s="35">
        <f>Daily_Consumption!C5</f>
        <v>2454</v>
      </c>
      <c r="D5" s="35">
        <f>Daily_Consumption!D5</f>
        <v>2489</v>
      </c>
      <c r="E5" s="35">
        <f>Daily_Consumption!E5</f>
        <v>35</v>
      </c>
    </row>
    <row r="6" spans="1:5" s="36" customFormat="1" ht="24.95" customHeight="1" x14ac:dyDescent="0.25">
      <c r="A6" s="33">
        <v>3</v>
      </c>
      <c r="B6" s="34" t="str">
        <f>FeederNames!B4</f>
        <v>Gr1.EED_Research_Wing_Incomer_1</v>
      </c>
      <c r="C6" s="35">
        <f>Daily_Consumption!C6</f>
        <v>12375</v>
      </c>
      <c r="D6" s="35">
        <f>Daily_Consumption!D6</f>
        <v>12592</v>
      </c>
      <c r="E6" s="35">
        <f>Daily_Consumption!E6</f>
        <v>217</v>
      </c>
    </row>
    <row r="7" spans="1:5" s="36" customFormat="1" ht="24.95" customHeight="1" x14ac:dyDescent="0.25">
      <c r="A7" s="33">
        <v>4</v>
      </c>
      <c r="B7" s="34" t="str">
        <f>FeederNames!B5</f>
        <v>Gr1.EED_Research_Wing_Incomer_2</v>
      </c>
      <c r="C7" s="35">
        <f>Daily_Consumption!C7</f>
        <v>2723</v>
      </c>
      <c r="D7" s="35">
        <f>Daily_Consumption!D7</f>
        <v>2766</v>
      </c>
      <c r="E7" s="35">
        <f>Daily_Consumption!E7</f>
        <v>43</v>
      </c>
    </row>
    <row r="8" spans="1:5" s="36" customFormat="1" ht="24.95" customHeight="1" x14ac:dyDescent="0.25">
      <c r="A8" s="33">
        <v>5</v>
      </c>
      <c r="B8" s="34" t="str">
        <f>FeederNames!B6</f>
        <v>Gr1.EED_Load_Feeder</v>
      </c>
      <c r="C8" s="35">
        <f>Daily_Consumption!C8</f>
        <v>6527</v>
      </c>
      <c r="D8" s="35">
        <f>Daily_Consumption!D8</f>
        <v>6625</v>
      </c>
      <c r="E8" s="35">
        <f>Daily_Consumption!E8</f>
        <v>98</v>
      </c>
    </row>
    <row r="9" spans="1:5" s="36" customFormat="1" ht="24.95" customHeight="1" x14ac:dyDescent="0.25">
      <c r="A9" s="33">
        <v>6</v>
      </c>
      <c r="B9" s="34" t="str">
        <f>FeederNames!B7</f>
        <v>Gr1.Civil_Load_Feeder</v>
      </c>
      <c r="C9" s="35">
        <f>Daily_Consumption!C9</f>
        <v>19526</v>
      </c>
      <c r="D9" s="35">
        <f>Daily_Consumption!D9</f>
        <v>19682</v>
      </c>
      <c r="E9" s="35">
        <f>Daily_Consumption!E9</f>
        <v>156</v>
      </c>
    </row>
    <row r="10" spans="1:5" s="36" customFormat="1" ht="15.75" x14ac:dyDescent="0.25">
      <c r="A10" s="37"/>
    </row>
    <row r="11" spans="1:5" s="36" customFormat="1" ht="16.5" thickBot="1" x14ac:dyDescent="0.3">
      <c r="A11" s="37"/>
    </row>
    <row r="12" spans="1:5" s="36" customFormat="1" ht="33" customHeight="1" thickBot="1" x14ac:dyDescent="0.35">
      <c r="A12" s="51" t="s">
        <v>185</v>
      </c>
      <c r="B12" s="52"/>
      <c r="C12" s="52"/>
      <c r="D12" s="52"/>
      <c r="E12" s="38">
        <f>SUM(E4:E9)</f>
        <v>816</v>
      </c>
    </row>
    <row r="15" spans="1:5" ht="24.95" customHeight="1" x14ac:dyDescent="0.25">
      <c r="A15" s="39">
        <v>1</v>
      </c>
      <c r="B15" s="40" t="str">
        <f>Daily_Consumption!B10</f>
        <v>Gr1.EED_Research_Wing_Solar</v>
      </c>
      <c r="C15" s="35">
        <f>Daily_Consumption!C10</f>
        <v>16546</v>
      </c>
      <c r="D15" s="35">
        <f>Daily_Consumption!D10</f>
        <v>16815</v>
      </c>
      <c r="E15" s="35">
        <f>Daily_Consumption!E10</f>
        <v>269</v>
      </c>
    </row>
    <row r="16" spans="1:5" ht="15.75" x14ac:dyDescent="0.25">
      <c r="A16" s="39">
        <v>2</v>
      </c>
      <c r="B16" s="40" t="str">
        <f>Daily_Consumption!B11</f>
        <v>Gr1.EED_Solar</v>
      </c>
      <c r="C16" s="35">
        <f>Daily_Consumption!C11</f>
        <v>15448</v>
      </c>
      <c r="D16" s="35">
        <f>Daily_Consumption!D11</f>
        <v>15715</v>
      </c>
      <c r="E16" s="35">
        <f>Daily_Consumption!E11</f>
        <v>267</v>
      </c>
    </row>
    <row r="17" spans="1:5" ht="13.5" thickBot="1" x14ac:dyDescent="0.25"/>
    <row r="18" spans="1:5" ht="23.25" thickBot="1" x14ac:dyDescent="0.35">
      <c r="A18" s="51" t="s">
        <v>186</v>
      </c>
      <c r="B18" s="52"/>
      <c r="C18" s="52"/>
      <c r="D18" s="52"/>
      <c r="E18" s="38">
        <f>E15+E16</f>
        <v>536</v>
      </c>
    </row>
  </sheetData>
  <mergeCells count="6">
    <mergeCell ref="A18:D18"/>
    <mergeCell ref="A1:C1"/>
    <mergeCell ref="A2:A3"/>
    <mergeCell ref="B2:B3"/>
    <mergeCell ref="C2:E2"/>
    <mergeCell ref="A12:D12"/>
  </mergeCells>
  <printOptions headings="1"/>
  <pageMargins left="0.7" right="0.7" top="0.72" bottom="0.75" header="0.27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1"/>
  <dimension ref="A1:L25877"/>
  <sheetViews>
    <sheetView showZeros="0" showOutlineSymbols="0" workbookViewId="0">
      <selection activeCell="B25" sqref="B25"/>
    </sheetView>
  </sheetViews>
  <sheetFormatPr defaultRowHeight="12.75" x14ac:dyDescent="0.2"/>
  <cols>
    <col min="1" max="1" width="13.28515625" style="8" customWidth="1"/>
    <col min="2" max="2" width="74.42578125" style="9" bestFit="1" customWidth="1"/>
    <col min="3" max="3" width="16.28515625" style="9" customWidth="1"/>
    <col min="4" max="4" width="16" style="9" customWidth="1"/>
    <col min="5" max="5" width="16.28515625" style="9" customWidth="1"/>
    <col min="6" max="12" width="15.7109375" style="9" customWidth="1"/>
    <col min="13" max="16384" width="9.140625" style="9"/>
  </cols>
  <sheetData>
    <row r="1" spans="1:12" ht="49.5" customHeight="1" x14ac:dyDescent="0.2">
      <c r="A1" s="21"/>
      <c r="B1" s="55" t="str">
        <f>Daily_Consumption!A1</f>
        <v>National Institute of Technology, Warangal</v>
      </c>
      <c r="C1" s="56"/>
      <c r="D1" s="22" t="s">
        <v>2</v>
      </c>
      <c r="E1" s="23">
        <f>Daily_Consumption!E1</f>
        <v>46029</v>
      </c>
      <c r="F1" s="11"/>
      <c r="G1" s="11"/>
      <c r="H1" s="11"/>
      <c r="I1" s="11"/>
      <c r="J1" s="11"/>
      <c r="K1" s="11"/>
      <c r="L1" s="11"/>
    </row>
    <row r="2" spans="1:12" ht="18" customHeight="1" x14ac:dyDescent="0.2">
      <c r="A2" s="53" t="s">
        <v>0</v>
      </c>
      <c r="B2" s="54" t="s">
        <v>1</v>
      </c>
      <c r="C2" s="17" t="s">
        <v>3</v>
      </c>
      <c r="D2" s="17" t="s">
        <v>4</v>
      </c>
      <c r="E2" s="17" t="s">
        <v>5</v>
      </c>
      <c r="F2" s="12"/>
      <c r="G2" s="12"/>
      <c r="H2" s="12"/>
      <c r="I2" s="12"/>
      <c r="J2" s="12"/>
      <c r="K2" s="12"/>
      <c r="L2" s="12"/>
    </row>
    <row r="3" spans="1:12" ht="26.25" customHeight="1" x14ac:dyDescent="0.2">
      <c r="A3" s="53"/>
      <c r="B3" s="54"/>
      <c r="C3" s="17" t="s">
        <v>6</v>
      </c>
      <c r="D3" s="17" t="s">
        <v>6</v>
      </c>
      <c r="E3" s="17" t="s">
        <v>6</v>
      </c>
    </row>
    <row r="4" spans="1:12" s="14" customFormat="1" ht="12.75" customHeight="1" x14ac:dyDescent="0.25">
      <c r="A4" s="19">
        <v>1</v>
      </c>
      <c r="B4" s="20" t="str">
        <f>FeederNames!B2</f>
        <v>Gr1.EED_Incomer_1</v>
      </c>
      <c r="C4" s="13"/>
      <c r="D4" s="13"/>
      <c r="E4" s="13"/>
    </row>
    <row r="5" spans="1:12" ht="12.75" customHeight="1" x14ac:dyDescent="0.2">
      <c r="A5" s="19">
        <v>2</v>
      </c>
      <c r="B5" s="20" t="str">
        <f>FeederNames!B3</f>
        <v>Gr1.EED_Incomer_2</v>
      </c>
      <c r="C5" s="13"/>
      <c r="D5" s="13"/>
      <c r="E5" s="13"/>
    </row>
    <row r="6" spans="1:12" ht="12.75" customHeight="1" x14ac:dyDescent="0.2">
      <c r="A6" s="19">
        <v>3</v>
      </c>
      <c r="B6" s="20" t="str">
        <f>FeederNames!B4</f>
        <v>Gr1.EED_Research_Wing_Incomer_1</v>
      </c>
      <c r="C6" s="13"/>
      <c r="D6" s="13"/>
      <c r="E6" s="13"/>
    </row>
    <row r="7" spans="1:12" ht="12.75" customHeight="1" x14ac:dyDescent="0.2">
      <c r="A7" s="19">
        <v>4</v>
      </c>
      <c r="B7" s="20" t="str">
        <f>FeederNames!B5</f>
        <v>Gr1.EED_Research_Wing_Incomer_2</v>
      </c>
      <c r="C7" s="13"/>
      <c r="D7" s="13"/>
      <c r="E7" s="13"/>
    </row>
    <row r="8" spans="1:12" ht="12.75" customHeight="1" x14ac:dyDescent="0.2">
      <c r="A8" s="19">
        <v>5</v>
      </c>
      <c r="B8" s="20" t="str">
        <f>FeederNames!B6</f>
        <v>Gr1.EED_Load_Feeder</v>
      </c>
      <c r="C8" s="13"/>
      <c r="D8" s="13"/>
      <c r="E8" s="13"/>
    </row>
    <row r="9" spans="1:12" ht="12.75" customHeight="1" x14ac:dyDescent="0.2">
      <c r="A9" s="19">
        <v>6</v>
      </c>
      <c r="B9" s="20" t="str">
        <f>FeederNames!B7</f>
        <v>Gr1.Civil_Load_Feeder</v>
      </c>
      <c r="C9" s="13"/>
      <c r="D9" s="13"/>
      <c r="E9" s="13"/>
    </row>
    <row r="10" spans="1:12" ht="12.75" customHeight="1" x14ac:dyDescent="0.2">
      <c r="A10" s="19">
        <v>7</v>
      </c>
      <c r="B10" s="20" t="str">
        <f>FeederNames!B8</f>
        <v>Gr1.EED_Research_Wing_Solar</v>
      </c>
      <c r="C10" s="13"/>
      <c r="D10" s="13"/>
      <c r="E10" s="13"/>
    </row>
    <row r="11" spans="1:12" ht="12.75" customHeight="1" x14ac:dyDescent="0.2">
      <c r="A11" s="19">
        <v>8</v>
      </c>
      <c r="B11" s="20" t="str">
        <f>FeederNames!B9</f>
        <v>Gr1.EED_Solar</v>
      </c>
      <c r="C11" s="13"/>
      <c r="D11" s="13"/>
      <c r="E11" s="13"/>
    </row>
    <row r="25877" ht="44.25" customHeight="1" x14ac:dyDescent="0.2"/>
  </sheetData>
  <mergeCells count="3">
    <mergeCell ref="A2:A3"/>
    <mergeCell ref="B2:B3"/>
    <mergeCell ref="B1:C1"/>
  </mergeCells>
  <phoneticPr fontId="0" type="noConversion"/>
  <printOptions horizontalCentered="1" verticalCentered="1"/>
  <pageMargins left="0.39370078740157499" right="0.39370078740157499" top="0.39370078740157499" bottom="0.39370078740157499" header="0.196850393700787" footer="0.196850393700787"/>
  <pageSetup scale="71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FeederNames</vt:lpstr>
      <vt:lpstr>Daily_Consumption</vt:lpstr>
      <vt:lpstr>Consumption &amp; Generation</vt:lpstr>
      <vt:lpstr>Shift_Consumption</vt:lpstr>
      <vt:lpstr>Shift_Consumption!Print_Area</vt:lpstr>
      <vt:lpstr>Shift_Consumption!Print_Titles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Lenovo ThinkStation</cp:lastModifiedBy>
  <cp:lastPrinted>2009-11-05T05:51:44Z</cp:lastPrinted>
  <dcterms:created xsi:type="dcterms:W3CDTF">1996-10-14T23:33:28Z</dcterms:created>
  <dcterms:modified xsi:type="dcterms:W3CDTF">2026-01-08T01:45:03Z</dcterms:modified>
</cp:coreProperties>
</file>